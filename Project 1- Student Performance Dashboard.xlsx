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19155" windowHeight="8520" activeTab="1"/>
  </bookViews>
  <sheets>
    <sheet name="Raw Data" sheetId="1" r:id="rId1"/>
    <sheet name="Analysis" sheetId="4" r:id="rId2"/>
    <sheet name="Dashboard" sheetId="6" r:id="rId3"/>
  </sheets>
  <definedNames>
    <definedName name="_xlnm._FilterDatabase" localSheetId="0" hidden="1">'Raw Data'!$A$1:$I$11</definedName>
    <definedName name="Slicer_Performance">#N/A</definedName>
  </definedNames>
  <calcPr calcId="144525"/>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 i="4" l="1"/>
  <c r="H3" i="4" l="1"/>
  <c r="G3" i="4"/>
  <c r="E3" i="4"/>
  <c r="D3" i="4"/>
  <c r="I3" i="1" l="1"/>
  <c r="I10" i="1"/>
  <c r="I4" i="1"/>
  <c r="I8" i="1"/>
  <c r="I5" i="1"/>
  <c r="I11" i="1"/>
  <c r="I2" i="1"/>
  <c r="I9" i="1"/>
  <c r="I6" i="1"/>
  <c r="I7" i="1"/>
  <c r="H3" i="1"/>
  <c r="H10" i="1"/>
  <c r="H4" i="1"/>
  <c r="H8" i="1"/>
  <c r="H5" i="1"/>
  <c r="H11" i="1"/>
  <c r="H2" i="1"/>
  <c r="H9" i="1"/>
  <c r="H6" i="1"/>
  <c r="H7" i="1"/>
  <c r="I12" i="1" s="1"/>
  <c r="F3" i="1"/>
  <c r="F10" i="1"/>
  <c r="F4" i="1"/>
  <c r="F8" i="1"/>
  <c r="F5" i="1"/>
  <c r="F11" i="1"/>
  <c r="F2" i="1"/>
  <c r="F9" i="1"/>
  <c r="F6" i="1"/>
  <c r="F7" i="1"/>
  <c r="G3" i="1"/>
  <c r="G10" i="1"/>
  <c r="G4" i="1"/>
  <c r="G8" i="1"/>
  <c r="G5" i="1"/>
  <c r="G11" i="1"/>
  <c r="G2" i="1"/>
  <c r="G9" i="1"/>
  <c r="G6" i="1"/>
  <c r="G7" i="1"/>
  <c r="C17" i="1"/>
  <c r="D17" i="1"/>
  <c r="E17" i="1"/>
  <c r="C16" i="1"/>
  <c r="D16" i="1"/>
  <c r="E16" i="1"/>
  <c r="C15" i="1"/>
  <c r="D15" i="1"/>
  <c r="E15" i="1"/>
  <c r="C14" i="1"/>
  <c r="D14" i="1"/>
  <c r="E14" i="1"/>
  <c r="C13" i="1"/>
  <c r="D13" i="1"/>
  <c r="E13" i="1"/>
  <c r="B17" i="1"/>
  <c r="B16" i="1"/>
  <c r="B15" i="1"/>
  <c r="B14" i="1"/>
  <c r="B13" i="1"/>
</calcChain>
</file>

<file path=xl/sharedStrings.xml><?xml version="1.0" encoding="utf-8"?>
<sst xmlns="http://schemas.openxmlformats.org/spreadsheetml/2006/main" count="55" uniqueCount="35">
  <si>
    <t xml:space="preserve">Students </t>
  </si>
  <si>
    <t xml:space="preserve">Maths </t>
  </si>
  <si>
    <t xml:space="preserve">Python </t>
  </si>
  <si>
    <t>Statistics</t>
  </si>
  <si>
    <t>Attendance</t>
  </si>
  <si>
    <t>Rahul</t>
  </si>
  <si>
    <t>Priya</t>
  </si>
  <si>
    <t>Amit</t>
  </si>
  <si>
    <t>Sneha</t>
  </si>
  <si>
    <t>Karan</t>
  </si>
  <si>
    <t>Neha</t>
  </si>
  <si>
    <t>Arjun</t>
  </si>
  <si>
    <t>Riya</t>
  </si>
  <si>
    <t>Yash</t>
  </si>
  <si>
    <t>Ananya</t>
  </si>
  <si>
    <t>Total Marks</t>
  </si>
  <si>
    <t>Average Marks</t>
  </si>
  <si>
    <t>Highest Marks</t>
  </si>
  <si>
    <t>Lowest Marks</t>
  </si>
  <si>
    <t>No. of Students</t>
  </si>
  <si>
    <t>Result</t>
  </si>
  <si>
    <t>Performance</t>
  </si>
  <si>
    <t>Row Labels</t>
  </si>
  <si>
    <t>Grand Total</t>
  </si>
  <si>
    <t>Average</t>
  </si>
  <si>
    <t xml:space="preserve">Count of Students </t>
  </si>
  <si>
    <t>Total Students</t>
  </si>
  <si>
    <t>Subject</t>
  </si>
  <si>
    <t>Maths</t>
  </si>
  <si>
    <t>Highest Average</t>
  </si>
  <si>
    <t>Average of Average Marks</t>
  </si>
  <si>
    <t>STUDENT PERFORMANCE ANALYTICS DASHBOARD</t>
  </si>
  <si>
    <t>Needs Improvement</t>
  </si>
  <si>
    <t>Excellent</t>
  </si>
  <si>
    <t>Good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</si>
</sst>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8"/>
      <color theme="1"/>
      <name val="Calibri"/>
      <family val="2"/>
      <scheme val="minor"/>
    </font>
    <font>
      <b/>
      <sz val="20"/>
      <color theme="1"/>
      <name val="Calibri"/>
      <family val="2"/>
      <scheme val="minor"/>
    </font>
    <font>
      <sz val="20"/>
      <color theme="1"/>
      <name val="Calibri"/>
      <family val="2"/>
      <scheme val="minor"/>
    </font>
    <font>
      <b/>
      <sz val="22"/>
      <color theme="1"/>
      <name val="Calibri"/>
      <family val="2"/>
      <scheme val="minor"/>
    </font>
    <font>
      <sz val="22"/>
      <color theme="1"/>
      <name val="Calibri"/>
      <family val="2"/>
      <scheme val="minor"/>
    </font>
    <font>
      <b/>
      <sz val="36"/>
      <color theme="1"/>
      <name val="Calibri"/>
      <family val="2"/>
      <scheme val="minor"/>
    </font>
    <font>
      <sz val="3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3" fillId="0" borderId="0" xfId="0" applyFont="1"/>
    <xf numFmtId="0" fontId="4" fillId="0" borderId="0" xfId="0" applyFont="1"/>
    <xf numFmtId="0" fontId="2" fillId="0" borderId="0" xfId="0" applyFont="1"/>
    <xf numFmtId="0" fontId="4" fillId="0" borderId="0" xfId="0" pivotButton="1" applyFont="1"/>
    <xf numFmtId="0" fontId="4" fillId="0" borderId="0" xfId="0" applyFont="1" applyAlignment="1">
      <alignment horizontal="left"/>
    </xf>
    <xf numFmtId="0" fontId="4" fillId="0" borderId="0" xfId="0" applyNumberFormat="1" applyFont="1"/>
    <xf numFmtId="0" fontId="7" fillId="0" borderId="0" xfId="0" applyFont="1"/>
    <xf numFmtId="0" fontId="8" fillId="0" borderId="0" xfId="0" applyFont="1"/>
    <xf numFmtId="0" fontId="5" fillId="0" borderId="0" xfId="0" applyFont="1" applyAlignment="1">
      <alignment horizontal="center"/>
    </xf>
    <xf numFmtId="0" fontId="6" fillId="0" borderId="0" xfId="0" applyFont="1" applyAlignment="1">
      <alignment horizontal="center"/>
    </xf>
  </cellXfs>
  <cellStyles count="1">
    <cellStyle name="Normal" xfId="0" builtinId="0"/>
  </cellStyles>
  <dxfs count="5">
    <dxf>
      <font>
        <sz val="20"/>
      </font>
    </dxf>
    <dxf>
      <font>
        <sz val="20"/>
      </font>
    </dxf>
    <dxf>
      <font>
        <sz val="20"/>
      </font>
    </dxf>
    <dxf>
      <font>
        <sz val="20"/>
      </font>
    </dxf>
    <dxf>
      <font>
        <sz val="2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Student Performance Dashboard.xlsx]Analysis!PivotTable3</c:name>
    <c:fmtId val="0"/>
  </c:pivotSource>
  <c:chart>
    <c:title>
      <c:tx>
        <c:rich>
          <a:bodyPr/>
          <a:lstStyle/>
          <a:p>
            <a:pPr>
              <a:defRPr/>
            </a:pPr>
            <a:r>
              <a:rPr lang="en-US"/>
              <a:t>Student</a:t>
            </a:r>
            <a:r>
              <a:rPr lang="en-US" baseline="0"/>
              <a:t> Performance Distribution</a:t>
            </a: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Analysis!$B$7</c:f>
              <c:strCache>
                <c:ptCount val="1"/>
                <c:pt idx="0">
                  <c:v>Total</c:v>
                </c:pt>
              </c:strCache>
            </c:strRef>
          </c:tx>
          <c:invertIfNegative val="0"/>
          <c:cat>
            <c:strRef>
              <c:f>Analysis!$A$8:$A$12</c:f>
              <c:strCache>
                <c:ptCount val="4"/>
                <c:pt idx="0">
                  <c:v>Average</c:v>
                </c:pt>
                <c:pt idx="1">
                  <c:v>Excellent</c:v>
                </c:pt>
                <c:pt idx="2">
                  <c:v>Good</c:v>
                </c:pt>
                <c:pt idx="3">
                  <c:v>Needs Improvement</c:v>
                </c:pt>
              </c:strCache>
            </c:strRef>
          </c:cat>
          <c:val>
            <c:numRef>
              <c:f>Analysis!$B$8:$B$12</c:f>
              <c:numCache>
                <c:formatCode>General</c:formatCode>
                <c:ptCount val="4"/>
                <c:pt idx="0">
                  <c:v>3</c:v>
                </c:pt>
                <c:pt idx="1">
                  <c:v>2</c:v>
                </c:pt>
                <c:pt idx="2">
                  <c:v>4</c:v>
                </c:pt>
                <c:pt idx="3">
                  <c:v>1</c:v>
                </c:pt>
              </c:numCache>
            </c:numRef>
          </c:val>
        </c:ser>
        <c:dLbls>
          <c:showLegendKey val="0"/>
          <c:showVal val="0"/>
          <c:showCatName val="0"/>
          <c:showSerName val="0"/>
          <c:showPercent val="0"/>
          <c:showBubbleSize val="0"/>
        </c:dLbls>
        <c:gapWidth val="150"/>
        <c:axId val="152067072"/>
        <c:axId val="152068864"/>
      </c:barChart>
      <c:catAx>
        <c:axId val="152067072"/>
        <c:scaling>
          <c:orientation val="minMax"/>
        </c:scaling>
        <c:delete val="0"/>
        <c:axPos val="b"/>
        <c:majorTickMark val="out"/>
        <c:minorTickMark val="none"/>
        <c:tickLblPos val="nextTo"/>
        <c:crossAx val="152068864"/>
        <c:crosses val="autoZero"/>
        <c:auto val="1"/>
        <c:lblAlgn val="ctr"/>
        <c:lblOffset val="100"/>
        <c:noMultiLvlLbl val="0"/>
      </c:catAx>
      <c:valAx>
        <c:axId val="152068864"/>
        <c:scaling>
          <c:orientation val="minMax"/>
        </c:scaling>
        <c:delete val="0"/>
        <c:axPos val="l"/>
        <c:majorGridlines/>
        <c:numFmt formatCode="General" sourceLinked="1"/>
        <c:majorTickMark val="out"/>
        <c:minorTickMark val="none"/>
        <c:tickLblPos val="nextTo"/>
        <c:crossAx val="1520670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Average Marks by Students</a:t>
            </a:r>
          </a:p>
        </c:rich>
      </c:tx>
      <c:layout/>
      <c:overlay val="0"/>
    </c:title>
    <c:autoTitleDeleted val="0"/>
    <c:plotArea>
      <c:layout/>
      <c:barChart>
        <c:barDir val="col"/>
        <c:grouping val="clustered"/>
        <c:varyColors val="0"/>
        <c:ser>
          <c:idx val="0"/>
          <c:order val="0"/>
          <c:tx>
            <c:strRef>
              <c:f>Analysis!$B$20</c:f>
              <c:strCache>
                <c:ptCount val="1"/>
                <c:pt idx="0">
                  <c:v>Average</c:v>
                </c:pt>
              </c:strCache>
            </c:strRef>
          </c:tx>
          <c:invertIfNegative val="0"/>
          <c:cat>
            <c:strRef>
              <c:f>Analysis!$A$21:$A$23</c:f>
              <c:strCache>
                <c:ptCount val="3"/>
                <c:pt idx="0">
                  <c:v>Maths</c:v>
                </c:pt>
                <c:pt idx="1">
                  <c:v>Python </c:v>
                </c:pt>
                <c:pt idx="2">
                  <c:v>Statistics</c:v>
                </c:pt>
              </c:strCache>
            </c:strRef>
          </c:cat>
          <c:val>
            <c:numRef>
              <c:f>Analysis!$B$21:$B$23</c:f>
              <c:numCache>
                <c:formatCode>General</c:formatCode>
                <c:ptCount val="3"/>
                <c:pt idx="0">
                  <c:v>78.099999999999994</c:v>
                </c:pt>
                <c:pt idx="1">
                  <c:v>81.2</c:v>
                </c:pt>
                <c:pt idx="2">
                  <c:v>79.400000000000006</c:v>
                </c:pt>
              </c:numCache>
            </c:numRef>
          </c:val>
        </c:ser>
        <c:dLbls>
          <c:showLegendKey val="0"/>
          <c:showVal val="0"/>
          <c:showCatName val="0"/>
          <c:showSerName val="0"/>
          <c:showPercent val="0"/>
          <c:showBubbleSize val="0"/>
        </c:dLbls>
        <c:gapWidth val="150"/>
        <c:axId val="152511232"/>
        <c:axId val="152512768"/>
      </c:barChart>
      <c:catAx>
        <c:axId val="152511232"/>
        <c:scaling>
          <c:orientation val="minMax"/>
        </c:scaling>
        <c:delete val="0"/>
        <c:axPos val="b"/>
        <c:majorTickMark val="out"/>
        <c:minorTickMark val="none"/>
        <c:tickLblPos val="nextTo"/>
        <c:crossAx val="152512768"/>
        <c:crosses val="autoZero"/>
        <c:auto val="1"/>
        <c:lblAlgn val="ctr"/>
        <c:lblOffset val="100"/>
        <c:noMultiLvlLbl val="0"/>
      </c:catAx>
      <c:valAx>
        <c:axId val="152512768"/>
        <c:scaling>
          <c:orientation val="minMax"/>
        </c:scaling>
        <c:delete val="0"/>
        <c:axPos val="l"/>
        <c:majorGridlines/>
        <c:numFmt formatCode="General" sourceLinked="1"/>
        <c:majorTickMark val="out"/>
        <c:minorTickMark val="none"/>
        <c:tickLblPos val="nextTo"/>
        <c:crossAx val="1525112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Student Performance Dashboard.xlsx]Dashboard!PivotTable1</c:name>
    <c:fmtId val="0"/>
  </c:pivotSource>
  <c:chart>
    <c:title>
      <c:tx>
        <c:rich>
          <a:bodyPr/>
          <a:lstStyle/>
          <a:p>
            <a:pPr>
              <a:defRPr/>
            </a:pPr>
            <a:r>
              <a:rPr lang="en-IN"/>
              <a:t>Average</a:t>
            </a:r>
            <a:r>
              <a:rPr lang="en-IN" baseline="0"/>
              <a:t> Marks of Students</a:t>
            </a:r>
          </a:p>
        </c:rich>
      </c:tx>
      <c:overlay val="0"/>
    </c:title>
    <c:autoTitleDeleted val="0"/>
    <c:pivotFmts>
      <c:pivotFmt>
        <c:idx val="0"/>
        <c:marker>
          <c:symbol val="none"/>
        </c:marker>
      </c:pivotFmt>
    </c:pivotFmts>
    <c:plotArea>
      <c:layout/>
      <c:barChart>
        <c:barDir val="col"/>
        <c:grouping val="clustered"/>
        <c:varyColors val="0"/>
        <c:ser>
          <c:idx val="0"/>
          <c:order val="0"/>
          <c:tx>
            <c:strRef>
              <c:f>Dashboard!$B$3</c:f>
              <c:strCache>
                <c:ptCount val="1"/>
                <c:pt idx="0">
                  <c:v>Total</c:v>
                </c:pt>
              </c:strCache>
            </c:strRef>
          </c:tx>
          <c:invertIfNegative val="0"/>
          <c:cat>
            <c:strRef>
              <c:f>Dashboard!$A$4:$A$14</c:f>
              <c:strCache>
                <c:ptCount val="10"/>
                <c:pt idx="0">
                  <c:v>Amit</c:v>
                </c:pt>
                <c:pt idx="1">
                  <c:v>Ananya</c:v>
                </c:pt>
                <c:pt idx="2">
                  <c:v>Arjun</c:v>
                </c:pt>
                <c:pt idx="3">
                  <c:v>Karan</c:v>
                </c:pt>
                <c:pt idx="4">
                  <c:v>Neha</c:v>
                </c:pt>
                <c:pt idx="5">
                  <c:v>Priya</c:v>
                </c:pt>
                <c:pt idx="6">
                  <c:v>Rahul</c:v>
                </c:pt>
                <c:pt idx="7">
                  <c:v>Riya</c:v>
                </c:pt>
                <c:pt idx="8">
                  <c:v>Sneha</c:v>
                </c:pt>
                <c:pt idx="9">
                  <c:v>Yash</c:v>
                </c:pt>
              </c:strCache>
            </c:strRef>
          </c:cat>
          <c:val>
            <c:numRef>
              <c:f>Dashboard!$B$4:$B$14</c:f>
              <c:numCache>
                <c:formatCode>General</c:formatCode>
                <c:ptCount val="10"/>
                <c:pt idx="0">
                  <c:v>67.666666666666671</c:v>
                </c:pt>
                <c:pt idx="1">
                  <c:v>85.333333333333329</c:v>
                </c:pt>
                <c:pt idx="2">
                  <c:v>59</c:v>
                </c:pt>
                <c:pt idx="3">
                  <c:v>72.666666666666671</c:v>
                </c:pt>
                <c:pt idx="4">
                  <c:v>87.333333333333329</c:v>
                </c:pt>
                <c:pt idx="5">
                  <c:v>91.666666666666671</c:v>
                </c:pt>
                <c:pt idx="6">
                  <c:v>78.333333333333329</c:v>
                </c:pt>
                <c:pt idx="7">
                  <c:v>94.666666666666671</c:v>
                </c:pt>
                <c:pt idx="8">
                  <c:v>87.666666666666671</c:v>
                </c:pt>
                <c:pt idx="9">
                  <c:v>71.333333333333329</c:v>
                </c:pt>
              </c:numCache>
            </c:numRef>
          </c:val>
        </c:ser>
        <c:dLbls>
          <c:showLegendKey val="0"/>
          <c:showVal val="0"/>
          <c:showCatName val="0"/>
          <c:showSerName val="0"/>
          <c:showPercent val="0"/>
          <c:showBubbleSize val="0"/>
        </c:dLbls>
        <c:gapWidth val="150"/>
        <c:axId val="152656512"/>
        <c:axId val="152658304"/>
      </c:barChart>
      <c:catAx>
        <c:axId val="152656512"/>
        <c:scaling>
          <c:orientation val="minMax"/>
        </c:scaling>
        <c:delete val="0"/>
        <c:axPos val="b"/>
        <c:majorTickMark val="out"/>
        <c:minorTickMark val="none"/>
        <c:tickLblPos val="nextTo"/>
        <c:crossAx val="152658304"/>
        <c:crosses val="autoZero"/>
        <c:auto val="1"/>
        <c:lblAlgn val="ctr"/>
        <c:lblOffset val="100"/>
        <c:noMultiLvlLbl val="0"/>
      </c:catAx>
      <c:valAx>
        <c:axId val="152658304"/>
        <c:scaling>
          <c:orientation val="minMax"/>
        </c:scaling>
        <c:delete val="0"/>
        <c:axPos val="l"/>
        <c:majorGridlines/>
        <c:numFmt formatCode="General" sourceLinked="1"/>
        <c:majorTickMark val="out"/>
        <c:minorTickMark val="none"/>
        <c:tickLblPos val="nextTo"/>
        <c:crossAx val="15265651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495424</xdr:colOff>
      <xdr:row>4</xdr:row>
      <xdr:rowOff>103909</xdr:rowOff>
    </xdr:from>
    <xdr:to>
      <xdr:col>7</xdr:col>
      <xdr:colOff>56030</xdr:colOff>
      <xdr:row>16</xdr:row>
      <xdr:rowOff>156883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462921</xdr:colOff>
      <xdr:row>19</xdr:row>
      <xdr:rowOff>50996</xdr:rowOff>
    </xdr:from>
    <xdr:to>
      <xdr:col>7</xdr:col>
      <xdr:colOff>69273</xdr:colOff>
      <xdr:row>25</xdr:row>
      <xdr:rowOff>57923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812376</xdr:colOff>
      <xdr:row>5</xdr:row>
      <xdr:rowOff>111484</xdr:rowOff>
    </xdr:from>
    <xdr:to>
      <xdr:col>10</xdr:col>
      <xdr:colOff>491094</xdr:colOff>
      <xdr:row>12</xdr:row>
      <xdr:rowOff>4947</xdr:rowOff>
    </xdr:to>
    <mc:AlternateContent xmlns:mc="http://schemas.openxmlformats.org/markup-compatibility/2006" xmlns:a14="http://schemas.microsoft.com/office/drawing/2010/main">
      <mc:Choice Requires="a14">
        <xdr:graphicFrame macro="">
          <xdr:nvGraphicFramePr>
            <xdr:cNvPr id="22" name="Performance"/>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13140447" y="1499413"/>
              <a:ext cx="2304896" cy="212503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xdr:row>
      <xdr:rowOff>157162</xdr:rowOff>
    </xdr:from>
    <xdr:to>
      <xdr:col>10</xdr:col>
      <xdr:colOff>152400</xdr:colOff>
      <xdr:row>16</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66.764910763886" createdVersion="4" refreshedVersion="4" minRefreshableVersion="3" recordCount="10">
  <cacheSource type="worksheet">
    <worksheetSource ref="A1:I11" sheet="Raw Data"/>
  </cacheSource>
  <cacheFields count="9">
    <cacheField name="Students " numFmtId="0">
      <sharedItems count="10">
        <s v="Riya"/>
        <s v="Priya"/>
        <s v="Sneha"/>
        <s v="Neha"/>
        <s v="Ananya"/>
        <s v="Rahul"/>
        <s v="Karan"/>
        <s v="Yash"/>
        <s v="Amit"/>
        <s v="Arjun"/>
      </sharedItems>
    </cacheField>
    <cacheField name="Maths " numFmtId="0">
      <sharedItems containsSemiMixedTypes="0" containsString="0" containsNumber="1" containsInteger="1" minValue="55" maxValue="95" count="10">
        <n v="95"/>
        <n v="92"/>
        <n v="85"/>
        <n v="88"/>
        <n v="82"/>
        <n v="78"/>
        <n v="72"/>
        <n v="69"/>
        <n v="65"/>
        <n v="55"/>
      </sharedItems>
    </cacheField>
    <cacheField name="Python " numFmtId="0">
      <sharedItems containsSemiMixedTypes="0" containsString="0" containsNumber="1" containsInteger="1" minValue="62" maxValue="93" count="10">
        <n v="93"/>
        <n v="88"/>
        <n v="91"/>
        <n v="84"/>
        <n v="89"/>
        <n v="85"/>
        <n v="76"/>
        <n v="74"/>
        <n v="70"/>
        <n v="62"/>
      </sharedItems>
    </cacheField>
    <cacheField name="Statistics" numFmtId="0">
      <sharedItems containsSemiMixedTypes="0" containsString="0" containsNumber="1" containsInteger="1" minValue="60" maxValue="96" count="10">
        <n v="96"/>
        <n v="95"/>
        <n v="87"/>
        <n v="90"/>
        <n v="85"/>
        <n v="72"/>
        <n v="70"/>
        <n v="71"/>
        <n v="68"/>
        <n v="60"/>
      </sharedItems>
    </cacheField>
    <cacheField name="Attendance" numFmtId="0">
      <sharedItems containsSemiMixedTypes="0" containsString="0" containsNumber="1" containsInteger="1" minValue="72" maxValue="98" count="10">
        <n v="98"/>
        <n v="96"/>
        <n v="92"/>
        <n v="94"/>
        <n v="91"/>
        <n v="90"/>
        <n v="85"/>
        <n v="81"/>
        <n v="80"/>
        <n v="72"/>
      </sharedItems>
    </cacheField>
    <cacheField name="Result" numFmtId="0">
      <sharedItems count="1">
        <s v="PASS"/>
      </sharedItems>
    </cacheField>
    <cacheField name="Performance" numFmtId="0">
      <sharedItems count="4">
        <s v="Excellent"/>
        <s v="Good"/>
        <s v="Average"/>
        <s v="Needs Improvement"/>
      </sharedItems>
    </cacheField>
    <cacheField name="Total Marks" numFmtId="0">
      <sharedItems containsSemiMixedTypes="0" containsString="0" containsNumber="1" containsInteger="1" minValue="177" maxValue="284" count="10">
        <n v="284"/>
        <n v="275"/>
        <n v="263"/>
        <n v="262"/>
        <n v="256"/>
        <n v="235"/>
        <n v="218"/>
        <n v="214"/>
        <n v="203"/>
        <n v="177"/>
      </sharedItems>
    </cacheField>
    <cacheField name="Average Marks" numFmtId="0">
      <sharedItems containsSemiMixedTypes="0" containsString="0" containsNumber="1" minValue="59" maxValue="94.666666666666671" count="10">
        <n v="94.666666666666671"/>
        <n v="91.666666666666671"/>
        <n v="87.666666666666671"/>
        <n v="87.333333333333329"/>
        <n v="85.333333333333329"/>
        <n v="78.333333333333329"/>
        <n v="72.666666666666671"/>
        <n v="71.333333333333329"/>
        <n v="67.666666666666671"/>
        <n v="5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x v="0"/>
    <x v="0"/>
    <x v="0"/>
    <x v="0"/>
    <x v="0"/>
    <x v="0"/>
    <x v="0"/>
    <x v="0"/>
  </r>
  <r>
    <x v="1"/>
    <x v="1"/>
    <x v="1"/>
    <x v="1"/>
    <x v="1"/>
    <x v="0"/>
    <x v="0"/>
    <x v="1"/>
    <x v="1"/>
  </r>
  <r>
    <x v="2"/>
    <x v="2"/>
    <x v="2"/>
    <x v="2"/>
    <x v="2"/>
    <x v="0"/>
    <x v="1"/>
    <x v="2"/>
    <x v="2"/>
  </r>
  <r>
    <x v="3"/>
    <x v="3"/>
    <x v="3"/>
    <x v="3"/>
    <x v="3"/>
    <x v="0"/>
    <x v="1"/>
    <x v="3"/>
    <x v="3"/>
  </r>
  <r>
    <x v="4"/>
    <x v="4"/>
    <x v="4"/>
    <x v="4"/>
    <x v="4"/>
    <x v="0"/>
    <x v="1"/>
    <x v="4"/>
    <x v="4"/>
  </r>
  <r>
    <x v="5"/>
    <x v="5"/>
    <x v="5"/>
    <x v="5"/>
    <x v="5"/>
    <x v="0"/>
    <x v="1"/>
    <x v="5"/>
    <x v="5"/>
  </r>
  <r>
    <x v="6"/>
    <x v="6"/>
    <x v="6"/>
    <x v="6"/>
    <x v="6"/>
    <x v="0"/>
    <x v="2"/>
    <x v="6"/>
    <x v="6"/>
  </r>
  <r>
    <x v="7"/>
    <x v="7"/>
    <x v="7"/>
    <x v="7"/>
    <x v="7"/>
    <x v="0"/>
    <x v="2"/>
    <x v="7"/>
    <x v="7"/>
  </r>
  <r>
    <x v="8"/>
    <x v="8"/>
    <x v="8"/>
    <x v="8"/>
    <x v="8"/>
    <x v="0"/>
    <x v="2"/>
    <x v="8"/>
    <x v="8"/>
  </r>
  <r>
    <x v="9"/>
    <x v="9"/>
    <x v="9"/>
    <x v="9"/>
    <x v="9"/>
    <x v="0"/>
    <x v="3"/>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7:B12" firstHeaderRow="1" firstDataRow="1" firstDataCol="1"/>
  <pivotFields count="9">
    <pivotField dataField="1" showAll="0">
      <items count="11">
        <item x="8"/>
        <item x="4"/>
        <item x="9"/>
        <item x="6"/>
        <item x="3"/>
        <item x="1"/>
        <item x="5"/>
        <item x="0"/>
        <item x="2"/>
        <item x="7"/>
        <item t="default"/>
      </items>
    </pivotField>
    <pivotField showAll="0"/>
    <pivotField showAll="0"/>
    <pivotField showAll="0"/>
    <pivotField showAll="0"/>
    <pivotField showAll="0"/>
    <pivotField axis="axisRow" showAll="0">
      <items count="5">
        <item x="2"/>
        <item x="0"/>
        <item x="1"/>
        <item x="3"/>
        <item t="default"/>
      </items>
    </pivotField>
    <pivotField showAll="0"/>
    <pivotField showAll="0"/>
  </pivotFields>
  <rowFields count="1">
    <field x="6"/>
  </rowFields>
  <rowItems count="5">
    <i>
      <x/>
    </i>
    <i>
      <x v="1"/>
    </i>
    <i>
      <x v="2"/>
    </i>
    <i>
      <x v="3"/>
    </i>
    <i t="grand">
      <x/>
    </i>
  </rowItems>
  <colItems count="1">
    <i/>
  </colItems>
  <dataFields count="1">
    <dataField name="Count of Students " fld="0" subtotal="count" baseField="0" baseItem="0"/>
  </dataFields>
  <formats count="1">
    <format dxfId="4">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14" firstHeaderRow="1" firstDataRow="1" firstDataCol="1"/>
  <pivotFields count="9">
    <pivotField axis="axisRow" showAll="0">
      <items count="11">
        <item x="8"/>
        <item x="4"/>
        <item x="9"/>
        <item x="6"/>
        <item x="3"/>
        <item x="1"/>
        <item x="5"/>
        <item x="0"/>
        <item x="2"/>
        <item x="7"/>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Average of Average Marks"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erformance" sourceName="Performance">
  <pivotTables>
    <pivotTable tabId="4" name="PivotTable3"/>
    <pivotTable tabId="6" name="PivotTable1"/>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erformance" cache="Slicer_Performance" caption="Performan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zoomScale="130" zoomScaleNormal="130" workbookViewId="0">
      <selection activeCell="G13" sqref="G13"/>
    </sheetView>
  </sheetViews>
  <sheetFormatPr defaultRowHeight="15" x14ac:dyDescent="0.25"/>
  <cols>
    <col min="1" max="1" width="14.85546875" bestFit="1" customWidth="1"/>
    <col min="2" max="2" width="8.42578125" bestFit="1" customWidth="1"/>
    <col min="3" max="3" width="7.7109375" bestFit="1" customWidth="1"/>
    <col min="4" max="4" width="9" bestFit="1" customWidth="1"/>
    <col min="5" max="5" width="11.28515625" bestFit="1" customWidth="1"/>
    <col min="6" max="6" width="6.5703125" bestFit="1" customWidth="1"/>
    <col min="7" max="7" width="19.5703125" bestFit="1" customWidth="1"/>
    <col min="8" max="8" width="11.28515625" bestFit="1" customWidth="1"/>
    <col min="9" max="9" width="14.28515625" bestFit="1" customWidth="1"/>
  </cols>
  <sheetData>
    <row r="1" spans="1:9" x14ac:dyDescent="0.25">
      <c r="A1" s="1" t="s">
        <v>0</v>
      </c>
      <c r="B1" s="1" t="s">
        <v>1</v>
      </c>
      <c r="C1" s="1" t="s">
        <v>2</v>
      </c>
      <c r="D1" s="1" t="s">
        <v>3</v>
      </c>
      <c r="E1" s="1" t="s">
        <v>4</v>
      </c>
      <c r="F1" s="1" t="s">
        <v>20</v>
      </c>
      <c r="G1" s="1" t="s">
        <v>21</v>
      </c>
      <c r="H1" s="1" t="s">
        <v>15</v>
      </c>
      <c r="I1" s="1" t="s">
        <v>16</v>
      </c>
    </row>
    <row r="2" spans="1:9" x14ac:dyDescent="0.25">
      <c r="A2" t="s">
        <v>12</v>
      </c>
      <c r="B2">
        <v>95</v>
      </c>
      <c r="C2">
        <v>93</v>
      </c>
      <c r="D2">
        <v>96</v>
      </c>
      <c r="E2">
        <v>98</v>
      </c>
      <c r="F2" t="str">
        <f t="shared" ref="F2:F11" si="0">IF(AVERAGE(B2:D2)&gt;=40,"PASS","FAIL")</f>
        <v>PASS</v>
      </c>
      <c r="G2" t="str">
        <f t="shared" ref="G2:G11" si="1">IF(AVERAGE(B2:D2)&gt;=90,"Excellent",IF(AVERAGE(B2:D2)&gt;=75,"Good",IF(AVERAGE(B2:D2)&gt;=60,"Average","Needs Improvement")))</f>
        <v>Excellent</v>
      </c>
      <c r="H2">
        <f t="shared" ref="H2:H11" si="2">SUM(B2:D2)</f>
        <v>284</v>
      </c>
      <c r="I2">
        <f t="shared" ref="I2:I11" si="3">AVERAGE(B2:D2)</f>
        <v>94.666666666666671</v>
      </c>
    </row>
    <row r="3" spans="1:9" x14ac:dyDescent="0.25">
      <c r="A3" t="s">
        <v>6</v>
      </c>
      <c r="B3">
        <v>92</v>
      </c>
      <c r="C3">
        <v>88</v>
      </c>
      <c r="D3">
        <v>95</v>
      </c>
      <c r="E3">
        <v>96</v>
      </c>
      <c r="F3" t="str">
        <f t="shared" si="0"/>
        <v>PASS</v>
      </c>
      <c r="G3" t="str">
        <f t="shared" si="1"/>
        <v>Excellent</v>
      </c>
      <c r="H3">
        <f t="shared" si="2"/>
        <v>275</v>
      </c>
      <c r="I3">
        <f t="shared" si="3"/>
        <v>91.666666666666671</v>
      </c>
    </row>
    <row r="4" spans="1:9" x14ac:dyDescent="0.25">
      <c r="A4" t="s">
        <v>8</v>
      </c>
      <c r="B4">
        <v>85</v>
      </c>
      <c r="C4">
        <v>91</v>
      </c>
      <c r="D4">
        <v>87</v>
      </c>
      <c r="E4">
        <v>92</v>
      </c>
      <c r="F4" t="str">
        <f t="shared" si="0"/>
        <v>PASS</v>
      </c>
      <c r="G4" t="str">
        <f t="shared" si="1"/>
        <v>Good</v>
      </c>
      <c r="H4">
        <f t="shared" si="2"/>
        <v>263</v>
      </c>
      <c r="I4">
        <f t="shared" si="3"/>
        <v>87.666666666666671</v>
      </c>
    </row>
    <row r="5" spans="1:9" x14ac:dyDescent="0.25">
      <c r="A5" t="s">
        <v>10</v>
      </c>
      <c r="B5">
        <v>88</v>
      </c>
      <c r="C5">
        <v>84</v>
      </c>
      <c r="D5">
        <v>90</v>
      </c>
      <c r="E5">
        <v>94</v>
      </c>
      <c r="F5" t="str">
        <f t="shared" si="0"/>
        <v>PASS</v>
      </c>
      <c r="G5" t="str">
        <f t="shared" si="1"/>
        <v>Good</v>
      </c>
      <c r="H5">
        <f t="shared" si="2"/>
        <v>262</v>
      </c>
      <c r="I5">
        <f t="shared" si="3"/>
        <v>87.333333333333329</v>
      </c>
    </row>
    <row r="6" spans="1:9" x14ac:dyDescent="0.25">
      <c r="A6" t="s">
        <v>14</v>
      </c>
      <c r="B6">
        <v>82</v>
      </c>
      <c r="C6">
        <v>89</v>
      </c>
      <c r="D6">
        <v>85</v>
      </c>
      <c r="E6">
        <v>91</v>
      </c>
      <c r="F6" t="str">
        <f t="shared" si="0"/>
        <v>PASS</v>
      </c>
      <c r="G6" t="str">
        <f t="shared" si="1"/>
        <v>Good</v>
      </c>
      <c r="H6">
        <f t="shared" si="2"/>
        <v>256</v>
      </c>
      <c r="I6">
        <f t="shared" si="3"/>
        <v>85.333333333333329</v>
      </c>
    </row>
    <row r="7" spans="1:9" x14ac:dyDescent="0.25">
      <c r="A7" t="s">
        <v>5</v>
      </c>
      <c r="B7">
        <v>78</v>
      </c>
      <c r="C7">
        <v>85</v>
      </c>
      <c r="D7">
        <v>72</v>
      </c>
      <c r="E7">
        <v>90</v>
      </c>
      <c r="F7" t="str">
        <f t="shared" si="0"/>
        <v>PASS</v>
      </c>
      <c r="G7" t="str">
        <f t="shared" si="1"/>
        <v>Good</v>
      </c>
      <c r="H7">
        <f t="shared" si="2"/>
        <v>235</v>
      </c>
      <c r="I7">
        <f t="shared" si="3"/>
        <v>78.333333333333329</v>
      </c>
    </row>
    <row r="8" spans="1:9" x14ac:dyDescent="0.25">
      <c r="A8" t="s">
        <v>9</v>
      </c>
      <c r="B8">
        <v>72</v>
      </c>
      <c r="C8">
        <v>76</v>
      </c>
      <c r="D8">
        <v>70</v>
      </c>
      <c r="E8">
        <v>85</v>
      </c>
      <c r="F8" t="str">
        <f t="shared" si="0"/>
        <v>PASS</v>
      </c>
      <c r="G8" t="str">
        <f t="shared" si="1"/>
        <v>Average</v>
      </c>
      <c r="H8">
        <f t="shared" si="2"/>
        <v>218</v>
      </c>
      <c r="I8">
        <f t="shared" si="3"/>
        <v>72.666666666666671</v>
      </c>
    </row>
    <row r="9" spans="1:9" x14ac:dyDescent="0.25">
      <c r="A9" t="s">
        <v>13</v>
      </c>
      <c r="B9">
        <v>69</v>
      </c>
      <c r="C9">
        <v>74</v>
      </c>
      <c r="D9">
        <v>71</v>
      </c>
      <c r="E9">
        <v>81</v>
      </c>
      <c r="F9" t="str">
        <f t="shared" si="0"/>
        <v>PASS</v>
      </c>
      <c r="G9" t="str">
        <f t="shared" si="1"/>
        <v>Average</v>
      </c>
      <c r="H9">
        <f t="shared" si="2"/>
        <v>214</v>
      </c>
      <c r="I9">
        <f t="shared" si="3"/>
        <v>71.333333333333329</v>
      </c>
    </row>
    <row r="10" spans="1:9" x14ac:dyDescent="0.25">
      <c r="A10" t="s">
        <v>7</v>
      </c>
      <c r="B10">
        <v>65</v>
      </c>
      <c r="C10">
        <v>70</v>
      </c>
      <c r="D10">
        <v>68</v>
      </c>
      <c r="E10">
        <v>80</v>
      </c>
      <c r="F10" t="str">
        <f t="shared" si="0"/>
        <v>PASS</v>
      </c>
      <c r="G10" t="str">
        <f t="shared" si="1"/>
        <v>Average</v>
      </c>
      <c r="H10">
        <f t="shared" si="2"/>
        <v>203</v>
      </c>
      <c r="I10">
        <f t="shared" si="3"/>
        <v>67.666666666666671</v>
      </c>
    </row>
    <row r="11" spans="1:9" x14ac:dyDescent="0.25">
      <c r="A11" t="s">
        <v>11</v>
      </c>
      <c r="B11">
        <v>55</v>
      </c>
      <c r="C11">
        <v>62</v>
      </c>
      <c r="D11">
        <v>60</v>
      </c>
      <c r="E11">
        <v>72</v>
      </c>
      <c r="F11" t="str">
        <f t="shared" si="0"/>
        <v>PASS</v>
      </c>
      <c r="G11" t="str">
        <f t="shared" si="1"/>
        <v>Needs Improvement</v>
      </c>
      <c r="H11">
        <f t="shared" si="2"/>
        <v>177</v>
      </c>
      <c r="I11">
        <f t="shared" si="3"/>
        <v>59</v>
      </c>
    </row>
    <row r="12" spans="1:9" x14ac:dyDescent="0.25">
      <c r="I12">
        <f>MAX(H2:H11)</f>
        <v>284</v>
      </c>
    </row>
    <row r="13" spans="1:9" x14ac:dyDescent="0.25">
      <c r="A13" s="1" t="s">
        <v>15</v>
      </c>
      <c r="B13">
        <f>SUM(B2:B11)</f>
        <v>781</v>
      </c>
      <c r="C13">
        <f t="shared" ref="C13:E13" si="4">SUM(C2:C11)</f>
        <v>812</v>
      </c>
      <c r="D13">
        <f t="shared" si="4"/>
        <v>794</v>
      </c>
      <c r="E13">
        <f t="shared" si="4"/>
        <v>879</v>
      </c>
    </row>
    <row r="14" spans="1:9" x14ac:dyDescent="0.25">
      <c r="A14" s="1" t="s">
        <v>16</v>
      </c>
      <c r="B14">
        <f>AVERAGE(B2:B11)</f>
        <v>78.099999999999994</v>
      </c>
      <c r="C14">
        <f t="shared" ref="C14:E14" si="5">AVERAGE(C2:C11)</f>
        <v>81.2</v>
      </c>
      <c r="D14">
        <f t="shared" si="5"/>
        <v>79.400000000000006</v>
      </c>
      <c r="E14">
        <f t="shared" si="5"/>
        <v>87.9</v>
      </c>
    </row>
    <row r="15" spans="1:9" x14ac:dyDescent="0.25">
      <c r="A15" s="1" t="s">
        <v>17</v>
      </c>
      <c r="B15">
        <f>MAX(B2:B11)</f>
        <v>95</v>
      </c>
      <c r="C15">
        <f t="shared" ref="C15:E15" si="6">MAX(C2:C11)</f>
        <v>93</v>
      </c>
      <c r="D15">
        <f t="shared" si="6"/>
        <v>96</v>
      </c>
      <c r="E15">
        <f t="shared" si="6"/>
        <v>98</v>
      </c>
    </row>
    <row r="16" spans="1:9" x14ac:dyDescent="0.25">
      <c r="A16" s="1" t="s">
        <v>18</v>
      </c>
      <c r="B16">
        <f>MIN(B2:B11)</f>
        <v>55</v>
      </c>
      <c r="C16">
        <f t="shared" ref="C16:E16" si="7">MIN(C2:C11)</f>
        <v>62</v>
      </c>
      <c r="D16">
        <f t="shared" si="7"/>
        <v>60</v>
      </c>
      <c r="E16">
        <f t="shared" si="7"/>
        <v>72</v>
      </c>
    </row>
    <row r="17" spans="1:5" x14ac:dyDescent="0.25">
      <c r="A17" s="1" t="s">
        <v>19</v>
      </c>
      <c r="B17">
        <f>COUNT(B2:B11)</f>
        <v>10</v>
      </c>
      <c r="C17">
        <f t="shared" ref="C17:E17" si="8">COUNT(C2:C11)</f>
        <v>10</v>
      </c>
      <c r="D17">
        <f t="shared" si="8"/>
        <v>10</v>
      </c>
      <c r="E17">
        <f t="shared" si="8"/>
        <v>10</v>
      </c>
    </row>
  </sheetData>
  <sortState ref="A2:I11">
    <sortCondition descending="1" ref="H2:H11"/>
  </sortState>
  <conditionalFormatting sqref="I1:I1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r:id="rId1"/>
  <ignoredErrors>
    <ignoredError sqref="F2:I1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tabSelected="1" topLeftCell="A4" zoomScale="70" zoomScaleNormal="70" workbookViewId="0">
      <selection activeCell="B25" sqref="B25"/>
    </sheetView>
  </sheetViews>
  <sheetFormatPr defaultRowHeight="15" x14ac:dyDescent="0.25"/>
  <cols>
    <col min="1" max="1" width="34.85546875" customWidth="1"/>
    <col min="2" max="2" width="32.42578125" customWidth="1"/>
    <col min="4" max="4" width="25.7109375" bestFit="1" customWidth="1"/>
    <col min="5" max="5" width="26.85546875" bestFit="1" customWidth="1"/>
    <col min="6" max="6" width="29.140625" bestFit="1" customWidth="1"/>
    <col min="7" max="7" width="25.7109375" bestFit="1" customWidth="1"/>
    <col min="8" max="8" width="21" bestFit="1" customWidth="1"/>
  </cols>
  <sheetData>
    <row r="1" spans="1:8" ht="28.5" x14ac:dyDescent="0.45">
      <c r="D1" s="13" t="s">
        <v>31</v>
      </c>
      <c r="E1" s="14"/>
      <c r="F1" s="14"/>
      <c r="G1" s="14"/>
      <c r="H1" s="14"/>
    </row>
    <row r="2" spans="1:8" ht="26.25" x14ac:dyDescent="0.4">
      <c r="D2" s="5" t="s">
        <v>26</v>
      </c>
      <c r="E2" s="5" t="s">
        <v>16</v>
      </c>
      <c r="F2" s="5" t="s">
        <v>29</v>
      </c>
      <c r="G2" s="5" t="s">
        <v>17</v>
      </c>
      <c r="H2" s="5" t="s">
        <v>4</v>
      </c>
    </row>
    <row r="3" spans="1:8" ht="23.25" x14ac:dyDescent="0.35">
      <c r="D3" s="7">
        <f>COUNTA('Raw Data'!A2:A11)</f>
        <v>10</v>
      </c>
      <c r="E3" s="7">
        <f>AVERAGE('Raw Data'!I2:I11)</f>
        <v>79.566666666666663</v>
      </c>
      <c r="F3" s="7">
        <f>MAX('Raw Data'!I2:I11)</f>
        <v>94.666666666666671</v>
      </c>
      <c r="G3" s="7">
        <f>MAX('Raw Data'!H2:H11)</f>
        <v>284</v>
      </c>
      <c r="H3" s="7">
        <f>AVERAGE('Raw Data'!E2:E11)</f>
        <v>87.9</v>
      </c>
    </row>
    <row r="7" spans="1:8" ht="26.25" x14ac:dyDescent="0.4">
      <c r="A7" s="8" t="s">
        <v>22</v>
      </c>
      <c r="B7" s="6" t="s">
        <v>25</v>
      </c>
    </row>
    <row r="8" spans="1:8" ht="26.25" x14ac:dyDescent="0.4">
      <c r="A8" s="9" t="s">
        <v>24</v>
      </c>
      <c r="B8" s="10">
        <v>3</v>
      </c>
    </row>
    <row r="9" spans="1:8" ht="26.25" x14ac:dyDescent="0.4">
      <c r="A9" s="9" t="s">
        <v>33</v>
      </c>
      <c r="B9" s="10">
        <v>2</v>
      </c>
    </row>
    <row r="10" spans="1:8" ht="26.25" x14ac:dyDescent="0.4">
      <c r="A10" s="9" t="s">
        <v>34</v>
      </c>
      <c r="B10" s="10">
        <v>4</v>
      </c>
    </row>
    <row r="11" spans="1:8" ht="26.25" x14ac:dyDescent="0.4">
      <c r="A11" s="9" t="s">
        <v>32</v>
      </c>
      <c r="B11" s="10">
        <v>1</v>
      </c>
    </row>
    <row r="12" spans="1:8" ht="26.25" x14ac:dyDescent="0.4">
      <c r="A12" s="9" t="s">
        <v>23</v>
      </c>
      <c r="B12" s="10">
        <v>10</v>
      </c>
    </row>
    <row r="20" spans="1:2" ht="46.5" x14ac:dyDescent="0.7">
      <c r="A20" s="11" t="s">
        <v>27</v>
      </c>
      <c r="B20" s="11" t="s">
        <v>24</v>
      </c>
    </row>
    <row r="21" spans="1:2" ht="46.5" x14ac:dyDescent="0.7">
      <c r="A21" s="12" t="s">
        <v>28</v>
      </c>
      <c r="B21" s="12">
        <v>78.099999999999994</v>
      </c>
    </row>
    <row r="22" spans="1:2" ht="46.5" x14ac:dyDescent="0.7">
      <c r="A22" s="12" t="s">
        <v>2</v>
      </c>
      <c r="B22" s="12">
        <v>81.2</v>
      </c>
    </row>
    <row r="23" spans="1:2" ht="46.5" x14ac:dyDescent="0.7">
      <c r="A23" s="12" t="s">
        <v>3</v>
      </c>
      <c r="B23" s="12">
        <v>79.400000000000006</v>
      </c>
    </row>
  </sheetData>
  <mergeCells count="1">
    <mergeCell ref="D1:H1"/>
  </mergeCells>
  <pageMargins left="0.7" right="0.7" top="0.75" bottom="0.75" header="0.3" footer="0.3"/>
  <pageSetup paperSize="9" orientation="portrait" horizontalDpi="0" verticalDpi="0"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5" sqref="A5"/>
    </sheetView>
  </sheetViews>
  <sheetFormatPr defaultRowHeight="15" x14ac:dyDescent="0.25"/>
  <cols>
    <col min="1" max="1" width="13.140625" bestFit="1" customWidth="1"/>
    <col min="2" max="2" width="24.5703125" bestFit="1" customWidth="1"/>
  </cols>
  <sheetData>
    <row r="3" spans="1:2" x14ac:dyDescent="0.25">
      <c r="A3" s="2" t="s">
        <v>22</v>
      </c>
      <c r="B3" t="s">
        <v>30</v>
      </c>
    </row>
    <row r="4" spans="1:2" x14ac:dyDescent="0.25">
      <c r="A4" s="3" t="s">
        <v>7</v>
      </c>
      <c r="B4" s="4">
        <v>67.666666666666671</v>
      </c>
    </row>
    <row r="5" spans="1:2" x14ac:dyDescent="0.25">
      <c r="A5" s="3" t="s">
        <v>14</v>
      </c>
      <c r="B5" s="4">
        <v>85.333333333333329</v>
      </c>
    </row>
    <row r="6" spans="1:2" x14ac:dyDescent="0.25">
      <c r="A6" s="3" t="s">
        <v>11</v>
      </c>
      <c r="B6" s="4">
        <v>59</v>
      </c>
    </row>
    <row r="7" spans="1:2" x14ac:dyDescent="0.25">
      <c r="A7" s="3" t="s">
        <v>9</v>
      </c>
      <c r="B7" s="4">
        <v>72.666666666666671</v>
      </c>
    </row>
    <row r="8" spans="1:2" x14ac:dyDescent="0.25">
      <c r="A8" s="3" t="s">
        <v>10</v>
      </c>
      <c r="B8" s="4">
        <v>87.333333333333329</v>
      </c>
    </row>
    <row r="9" spans="1:2" x14ac:dyDescent="0.25">
      <c r="A9" s="3" t="s">
        <v>6</v>
      </c>
      <c r="B9" s="4">
        <v>91.666666666666671</v>
      </c>
    </row>
    <row r="10" spans="1:2" x14ac:dyDescent="0.25">
      <c r="A10" s="3" t="s">
        <v>5</v>
      </c>
      <c r="B10" s="4">
        <v>78.333333333333329</v>
      </c>
    </row>
    <row r="11" spans="1:2" x14ac:dyDescent="0.25">
      <c r="A11" s="3" t="s">
        <v>12</v>
      </c>
      <c r="B11" s="4">
        <v>94.666666666666671</v>
      </c>
    </row>
    <row r="12" spans="1:2" x14ac:dyDescent="0.25">
      <c r="A12" s="3" t="s">
        <v>8</v>
      </c>
      <c r="B12" s="4">
        <v>87.666666666666671</v>
      </c>
    </row>
    <row r="13" spans="1:2" x14ac:dyDescent="0.25">
      <c r="A13" s="3" t="s">
        <v>13</v>
      </c>
      <c r="B13" s="4">
        <v>71.333333333333329</v>
      </c>
    </row>
    <row r="14" spans="1:2" x14ac:dyDescent="0.25">
      <c r="A14" s="3" t="s">
        <v>23</v>
      </c>
      <c r="B14" s="4">
        <v>79.566666666666663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2026-08-30T15:22:10Z</dcterms:created>
  <dcterms:modified xsi:type="dcterms:W3CDTF">2026-09-03T17:05:39Z</dcterms:modified>
</cp:coreProperties>
</file>